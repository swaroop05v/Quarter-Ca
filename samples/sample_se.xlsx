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tanma\Tanmay_T_A\Programming\Quarter-CA\samples\"/>
    </mc:Choice>
  </mc:AlternateContent>
  <xr:revisionPtr revIDLastSave="0" documentId="13_ncr:1_{A8FEFCF2-58E5-4ED2-957B-643B36E3374D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Income Statement" sheetId="1" r:id="rId1"/>
    <sheet name="Balance Sheet" sheetId="2" r:id="rId2"/>
    <sheet name="Cash Flow Statement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69" i="2" l="1"/>
  <c r="D69" i="2"/>
  <c r="B69" i="2"/>
  <c r="C57" i="2"/>
  <c r="D57" i="2"/>
  <c r="B57" i="2"/>
  <c r="C47" i="2"/>
  <c r="D47" i="2"/>
  <c r="B47" i="2"/>
  <c r="C28" i="2"/>
  <c r="D28" i="2"/>
  <c r="B28" i="2"/>
  <c r="C4" i="2"/>
  <c r="D4" i="2"/>
  <c r="B4" i="2"/>
  <c r="C21" i="1"/>
  <c r="D21" i="1"/>
  <c r="B21" i="1"/>
  <c r="C6" i="1"/>
  <c r="D6" i="1"/>
  <c r="B6" i="1"/>
  <c r="C2" i="1"/>
  <c r="D2" i="1"/>
  <c r="B2" i="1"/>
</calcChain>
</file>

<file path=xl/sharedStrings.xml><?xml version="1.0" encoding="utf-8"?>
<sst xmlns="http://schemas.openxmlformats.org/spreadsheetml/2006/main" count="84" uniqueCount="76">
  <si>
    <t>Field</t>
  </si>
  <si>
    <t>FY 2024</t>
  </si>
  <si>
    <t>FY 2023</t>
  </si>
  <si>
    <t>FY 2022</t>
  </si>
  <si>
    <t>Revenue</t>
  </si>
  <si>
    <t>Revenue from operations</t>
  </si>
  <si>
    <t>Other income</t>
  </si>
  <si>
    <t>Expenses</t>
  </si>
  <si>
    <t>Cost of materials consumed</t>
  </si>
  <si>
    <t>Purchases of stock-in-trade</t>
  </si>
  <si>
    <t>Changes in inventories of goods, work-in-progress and stock-in-trade</t>
  </si>
  <si>
    <t>Employee benefit expense</t>
  </si>
  <si>
    <t>Finance cost</t>
  </si>
  <si>
    <t>Amortization &amp; Depreciation</t>
  </si>
  <si>
    <t>Other expenses</t>
  </si>
  <si>
    <t>Profit before exceptional items and tax</t>
  </si>
  <si>
    <t>Exceptional items before tax</t>
  </si>
  <si>
    <t>Profit/(Loss) before tax</t>
  </si>
  <si>
    <t>Tax Expense</t>
  </si>
  <si>
    <t>Current tax</t>
  </si>
  <si>
    <t>Deferred tax</t>
  </si>
  <si>
    <t>Profit/(Loss) for the year</t>
  </si>
  <si>
    <t>Assets</t>
  </si>
  <si>
    <t>Non-current assets</t>
  </si>
  <si>
    <t>Property, plant and equipment</t>
  </si>
  <si>
    <t>Capital work-in-progress</t>
  </si>
  <si>
    <t>Goodwill</t>
  </si>
  <si>
    <t>Intangible assets under development</t>
  </si>
  <si>
    <t>Investments accounted for using equity method</t>
  </si>
  <si>
    <t>Non-current financial assets</t>
  </si>
  <si>
    <t>Non-current investments</t>
  </si>
  <si>
    <t>Loans, non-current</t>
  </si>
  <si>
    <t>Other non-current financial assets</t>
  </si>
  <si>
    <t>Deferred tax assets (net)</t>
  </si>
  <si>
    <t>Other non-current assets</t>
  </si>
  <si>
    <t>Other intangible assets</t>
  </si>
  <si>
    <t>Current assets</t>
  </si>
  <si>
    <t>Inventories</t>
  </si>
  <si>
    <t>Current financial assets</t>
  </si>
  <si>
    <t>Current investments</t>
  </si>
  <si>
    <t>Trade receivables, current</t>
  </si>
  <si>
    <t>Cash and cash equivalents</t>
  </si>
  <si>
    <t>Bank balance other than cash</t>
  </si>
  <si>
    <t>Loans, current</t>
  </si>
  <si>
    <t>Other current financial assets</t>
  </si>
  <si>
    <t>Other current assets</t>
  </si>
  <si>
    <t>Non-current assets classified as held for sale</t>
  </si>
  <si>
    <t>Equity and liabilities</t>
  </si>
  <si>
    <t>Equity</t>
  </si>
  <si>
    <t>Equity attributable to owners of parent</t>
  </si>
  <si>
    <t>Equity share capital</t>
  </si>
  <si>
    <t>Other equity</t>
  </si>
  <si>
    <t>Non controlling interest</t>
  </si>
  <si>
    <t>Liabilities</t>
  </si>
  <si>
    <t>Non-current Liabilities</t>
  </si>
  <si>
    <t>Non-currentfinancial liabilities</t>
  </si>
  <si>
    <t>Borrowings, noncurrent</t>
  </si>
  <si>
    <t>Other non-current financial liabilities</t>
  </si>
  <si>
    <t>Provisions, non-current</t>
  </si>
  <si>
    <t>Deferred tax liabilities (net)</t>
  </si>
  <si>
    <t>Other non-current liabilities</t>
  </si>
  <si>
    <t>Current liabilities</t>
  </si>
  <si>
    <t>Currentfinancial liabilities</t>
  </si>
  <si>
    <t>Borrowings, current</t>
  </si>
  <si>
    <t>Trade payables, current</t>
  </si>
  <si>
    <t>Other current financial liabilities</t>
  </si>
  <si>
    <t>Provisions, current</t>
  </si>
  <si>
    <t>Other currentliabilities</t>
  </si>
  <si>
    <t>Net cash from/(used in) operating activities</t>
  </si>
  <si>
    <t>Net cash from/(used in) investing activities</t>
  </si>
  <si>
    <t>Net cash from/(used in) financing activities</t>
  </si>
  <si>
    <t>Net increase (decrease) in cash and cash equivalents before effect of exchange rate changes</t>
  </si>
  <si>
    <t>Effect of exchange rate changes on cash and cash equivalents</t>
  </si>
  <si>
    <t>Net increase /(decrease) in cash and cash equivalents</t>
  </si>
  <si>
    <t>Cash and cash equivalents at the beginning of the year</t>
  </si>
  <si>
    <t>Cash and cash equivalents at the end of the 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</si>
</sst>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5"/>
  <sheetViews>
    <sheetView workbookViewId="0"/>
  </sheetViews>
  <sheetFormatPr defaultRowHeight="14.4" x14ac:dyDescent="0.3"/>
  <cols>
    <col min="1" max="1" width="57.88671875" bestFit="1" customWidth="1"/>
    <col min="2" max="4" width="10" bestFit="1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s="2" t="s">
        <v>4</v>
      </c>
      <c r="B2">
        <f>SUM(B3:B4)</f>
        <v>502500000</v>
      </c>
      <c r="C2">
        <f t="shared" ref="C2:D2" si="0">SUM(C3:C4)</f>
        <v>477000000</v>
      </c>
      <c r="D2">
        <f t="shared" si="0"/>
        <v>451500000</v>
      </c>
    </row>
    <row r="3" spans="1:4" x14ac:dyDescent="0.3">
      <c r="A3" t="s">
        <v>5</v>
      </c>
      <c r="B3">
        <v>500000000</v>
      </c>
      <c r="C3">
        <v>475000000</v>
      </c>
      <c r="D3">
        <v>450000000</v>
      </c>
    </row>
    <row r="4" spans="1:4" x14ac:dyDescent="0.3">
      <c r="A4" t="s">
        <v>6</v>
      </c>
      <c r="B4">
        <v>2500000</v>
      </c>
      <c r="C4">
        <v>2000000</v>
      </c>
      <c r="D4">
        <v>1500000</v>
      </c>
    </row>
    <row r="6" spans="1:4" x14ac:dyDescent="0.3">
      <c r="A6" s="2" t="s">
        <v>7</v>
      </c>
      <c r="B6">
        <f>SUM(B7:B13)</f>
        <v>370000000</v>
      </c>
      <c r="C6">
        <f t="shared" ref="C6:D6" si="1">SUM(C7:C13)</f>
        <v>348500000</v>
      </c>
      <c r="D6">
        <f t="shared" si="1"/>
        <v>333000000</v>
      </c>
    </row>
    <row r="7" spans="1:4" x14ac:dyDescent="0.3">
      <c r="A7" t="s">
        <v>8</v>
      </c>
      <c r="B7">
        <v>275000000</v>
      </c>
      <c r="C7">
        <v>260000000</v>
      </c>
      <c r="D7">
        <v>250000000</v>
      </c>
    </row>
    <row r="8" spans="1:4" x14ac:dyDescent="0.3">
      <c r="A8" t="s">
        <v>9</v>
      </c>
      <c r="B8">
        <v>40000000</v>
      </c>
      <c r="C8">
        <v>37500000</v>
      </c>
      <c r="D8">
        <v>35000000</v>
      </c>
    </row>
    <row r="9" spans="1:4" x14ac:dyDescent="0.3">
      <c r="A9" t="s">
        <v>10</v>
      </c>
      <c r="B9">
        <v>-10000000</v>
      </c>
      <c r="C9">
        <v>-7500000</v>
      </c>
      <c r="D9">
        <v>-5000000</v>
      </c>
    </row>
    <row r="10" spans="1:4" x14ac:dyDescent="0.3">
      <c r="A10" t="s">
        <v>11</v>
      </c>
      <c r="B10">
        <v>30000000</v>
      </c>
      <c r="C10">
        <v>27500000</v>
      </c>
      <c r="D10">
        <v>25000000</v>
      </c>
    </row>
    <row r="11" spans="1:4" x14ac:dyDescent="0.3">
      <c r="A11" t="s">
        <v>12</v>
      </c>
      <c r="B11">
        <v>7500000</v>
      </c>
      <c r="C11">
        <v>7000000</v>
      </c>
      <c r="D11">
        <v>6000000</v>
      </c>
    </row>
    <row r="12" spans="1:4" x14ac:dyDescent="0.3">
      <c r="A12" t="s">
        <v>13</v>
      </c>
      <c r="B12">
        <v>10000000</v>
      </c>
      <c r="C12">
        <v>9000000</v>
      </c>
      <c r="D12">
        <v>8000000</v>
      </c>
    </row>
    <row r="13" spans="1:4" x14ac:dyDescent="0.3">
      <c r="A13" t="s">
        <v>14</v>
      </c>
      <c r="B13">
        <v>17500000</v>
      </c>
      <c r="C13">
        <v>15000000</v>
      </c>
      <c r="D13">
        <v>14000000</v>
      </c>
    </row>
    <row r="15" spans="1:4" x14ac:dyDescent="0.3">
      <c r="A15" s="2" t="s">
        <v>15</v>
      </c>
      <c r="B15">
        <v>125000000</v>
      </c>
      <c r="C15">
        <v>118500000</v>
      </c>
      <c r="D15">
        <v>108500000</v>
      </c>
    </row>
    <row r="17" spans="1:4" x14ac:dyDescent="0.3">
      <c r="A17" s="2" t="s">
        <v>16</v>
      </c>
      <c r="B17">
        <v>0</v>
      </c>
      <c r="C17">
        <v>0</v>
      </c>
      <c r="D17">
        <v>0</v>
      </c>
    </row>
    <row r="19" spans="1:4" x14ac:dyDescent="0.3">
      <c r="A19" s="2" t="s">
        <v>17</v>
      </c>
      <c r="B19">
        <v>125000000</v>
      </c>
      <c r="C19">
        <v>118500000</v>
      </c>
      <c r="D19">
        <v>108500000</v>
      </c>
    </row>
    <row r="21" spans="1:4" x14ac:dyDescent="0.3">
      <c r="A21" s="2" t="s">
        <v>18</v>
      </c>
      <c r="B21">
        <f>SUM(B22:B23)</f>
        <v>32500000</v>
      </c>
      <c r="C21">
        <f t="shared" ref="C21:D21" si="2">SUM(C22:C23)</f>
        <v>31000000</v>
      </c>
      <c r="D21">
        <f t="shared" si="2"/>
        <v>28500000</v>
      </c>
    </row>
    <row r="22" spans="1:4" x14ac:dyDescent="0.3">
      <c r="A22" t="s">
        <v>19</v>
      </c>
      <c r="B22">
        <v>30000000</v>
      </c>
      <c r="C22">
        <v>29000000</v>
      </c>
      <c r="D22">
        <v>27000000</v>
      </c>
    </row>
    <row r="23" spans="1:4" x14ac:dyDescent="0.3">
      <c r="A23" t="s">
        <v>20</v>
      </c>
      <c r="B23">
        <v>2500000</v>
      </c>
      <c r="C23">
        <v>2000000</v>
      </c>
      <c r="D23">
        <v>1500000</v>
      </c>
    </row>
    <row r="25" spans="1:4" x14ac:dyDescent="0.3">
      <c r="A25" s="2" t="s">
        <v>21</v>
      </c>
      <c r="B25">
        <v>92500000</v>
      </c>
      <c r="C25">
        <v>87500000</v>
      </c>
      <c r="D25">
        <v>80000000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78"/>
  <sheetViews>
    <sheetView workbookViewId="0"/>
  </sheetViews>
  <sheetFormatPr defaultRowHeight="14.4" x14ac:dyDescent="0.3"/>
  <cols>
    <col min="1" max="1" width="40.33203125" bestFit="1" customWidth="1"/>
    <col min="2" max="4" width="10" bestFit="1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s="2" t="s">
        <v>22</v>
      </c>
    </row>
    <row r="4" spans="1:4" x14ac:dyDescent="0.3">
      <c r="A4" s="2" t="s">
        <v>23</v>
      </c>
      <c r="B4">
        <f>SUM(B6:B25)</f>
        <v>167500000</v>
      </c>
      <c r="C4">
        <f t="shared" ref="C4:D4" si="0">SUM(C6:C25)</f>
        <v>150250000</v>
      </c>
      <c r="D4">
        <f t="shared" si="0"/>
        <v>134000000</v>
      </c>
    </row>
    <row r="6" spans="1:4" x14ac:dyDescent="0.3">
      <c r="A6" s="2" t="s">
        <v>24</v>
      </c>
      <c r="B6">
        <v>125000000</v>
      </c>
      <c r="C6">
        <v>115000000</v>
      </c>
      <c r="D6">
        <v>105000000</v>
      </c>
    </row>
    <row r="8" spans="1:4" x14ac:dyDescent="0.3">
      <c r="A8" s="2" t="s">
        <v>25</v>
      </c>
      <c r="B8">
        <v>10000000</v>
      </c>
      <c r="C8">
        <v>7500000</v>
      </c>
      <c r="D8">
        <v>5000000</v>
      </c>
    </row>
    <row r="10" spans="1:4" x14ac:dyDescent="0.3">
      <c r="A10" s="2" t="s">
        <v>26</v>
      </c>
      <c r="B10">
        <v>2500000</v>
      </c>
      <c r="C10">
        <v>2500000</v>
      </c>
      <c r="D10">
        <v>2500000</v>
      </c>
    </row>
    <row r="12" spans="1:4" x14ac:dyDescent="0.3">
      <c r="A12" s="2" t="s">
        <v>27</v>
      </c>
      <c r="B12">
        <v>1000000</v>
      </c>
      <c r="C12">
        <v>750000</v>
      </c>
      <c r="D12">
        <v>500000</v>
      </c>
    </row>
    <row r="14" spans="1:4" x14ac:dyDescent="0.3">
      <c r="A14" s="2" t="s">
        <v>28</v>
      </c>
      <c r="B14">
        <v>0</v>
      </c>
      <c r="C14">
        <v>0</v>
      </c>
      <c r="D14">
        <v>0</v>
      </c>
    </row>
    <row r="16" spans="1:4" x14ac:dyDescent="0.3">
      <c r="A16" s="2" t="s">
        <v>29</v>
      </c>
    </row>
    <row r="17" spans="1:4" x14ac:dyDescent="0.3">
      <c r="A17" t="s">
        <v>30</v>
      </c>
      <c r="B17">
        <v>5000000</v>
      </c>
      <c r="C17">
        <v>4000000</v>
      </c>
      <c r="D17">
        <v>3000000</v>
      </c>
    </row>
    <row r="18" spans="1:4" x14ac:dyDescent="0.3">
      <c r="A18" t="s">
        <v>31</v>
      </c>
      <c r="B18">
        <v>7500000</v>
      </c>
      <c r="C18">
        <v>6000000</v>
      </c>
      <c r="D18">
        <v>5000000</v>
      </c>
    </row>
    <row r="19" spans="1:4" x14ac:dyDescent="0.3">
      <c r="A19" t="s">
        <v>32</v>
      </c>
      <c r="B19">
        <v>4000000</v>
      </c>
      <c r="C19">
        <v>3500000</v>
      </c>
      <c r="D19">
        <v>3000000</v>
      </c>
    </row>
    <row r="21" spans="1:4" x14ac:dyDescent="0.3">
      <c r="A21" s="2" t="s">
        <v>33</v>
      </c>
      <c r="B21">
        <v>3000000</v>
      </c>
      <c r="C21">
        <v>2750000</v>
      </c>
      <c r="D21">
        <v>2500000</v>
      </c>
    </row>
    <row r="23" spans="1:4" x14ac:dyDescent="0.3">
      <c r="A23" s="2" t="s">
        <v>34</v>
      </c>
      <c r="B23">
        <v>6000000</v>
      </c>
      <c r="C23">
        <v>5000000</v>
      </c>
      <c r="D23">
        <v>4500000</v>
      </c>
    </row>
    <row r="25" spans="1:4" x14ac:dyDescent="0.3">
      <c r="A25" s="2" t="s">
        <v>35</v>
      </c>
      <c r="B25">
        <v>3500000</v>
      </c>
      <c r="C25">
        <v>3250000</v>
      </c>
      <c r="D25">
        <v>3000000</v>
      </c>
    </row>
    <row r="26" spans="1:4" x14ac:dyDescent="0.3">
      <c r="A26" s="2"/>
    </row>
    <row r="28" spans="1:4" x14ac:dyDescent="0.3">
      <c r="A28" s="2" t="s">
        <v>36</v>
      </c>
      <c r="B28">
        <f>SUM(B30:B40)</f>
        <v>147500000</v>
      </c>
      <c r="C28">
        <f t="shared" ref="C28:D28" si="1">SUM(C30:C40)</f>
        <v>131250000</v>
      </c>
      <c r="D28">
        <f t="shared" si="1"/>
        <v>117000000</v>
      </c>
    </row>
    <row r="30" spans="1:4" x14ac:dyDescent="0.3">
      <c r="A30" s="2" t="s">
        <v>37</v>
      </c>
      <c r="B30">
        <v>50000000</v>
      </c>
      <c r="C30">
        <v>45000000</v>
      </c>
      <c r="D30">
        <v>40000000</v>
      </c>
    </row>
    <row r="32" spans="1:4" x14ac:dyDescent="0.3">
      <c r="A32" s="2" t="s">
        <v>38</v>
      </c>
    </row>
    <row r="33" spans="1:4" x14ac:dyDescent="0.3">
      <c r="A33" t="s">
        <v>39</v>
      </c>
      <c r="B33">
        <v>2500000</v>
      </c>
      <c r="C33">
        <v>2000000</v>
      </c>
      <c r="D33">
        <v>1500000</v>
      </c>
    </row>
    <row r="34" spans="1:4" x14ac:dyDescent="0.3">
      <c r="A34" t="s">
        <v>40</v>
      </c>
      <c r="B34">
        <v>60000000</v>
      </c>
      <c r="C34">
        <v>55000000</v>
      </c>
      <c r="D34">
        <v>50000000</v>
      </c>
    </row>
    <row r="35" spans="1:4" x14ac:dyDescent="0.3">
      <c r="A35" t="s">
        <v>41</v>
      </c>
      <c r="B35">
        <v>12500000</v>
      </c>
      <c r="C35">
        <v>10000000</v>
      </c>
      <c r="D35">
        <v>9000000</v>
      </c>
    </row>
    <row r="36" spans="1:4" x14ac:dyDescent="0.3">
      <c r="A36" t="s">
        <v>42</v>
      </c>
      <c r="B36">
        <v>7500000</v>
      </c>
      <c r="C36">
        <v>6500000</v>
      </c>
      <c r="D36">
        <v>5500000</v>
      </c>
    </row>
    <row r="37" spans="1:4" x14ac:dyDescent="0.3">
      <c r="A37" t="s">
        <v>43</v>
      </c>
      <c r="B37">
        <v>3000000</v>
      </c>
      <c r="C37">
        <v>2500000</v>
      </c>
      <c r="D37">
        <v>2000000</v>
      </c>
    </row>
    <row r="38" spans="1:4" x14ac:dyDescent="0.3">
      <c r="A38" t="s">
        <v>44</v>
      </c>
      <c r="B38">
        <v>2000000</v>
      </c>
      <c r="C38">
        <v>1750000</v>
      </c>
      <c r="D38">
        <v>1500000</v>
      </c>
    </row>
    <row r="40" spans="1:4" x14ac:dyDescent="0.3">
      <c r="A40" s="2" t="s">
        <v>45</v>
      </c>
      <c r="B40">
        <v>10000000</v>
      </c>
      <c r="C40">
        <v>8500000</v>
      </c>
      <c r="D40">
        <v>7500000</v>
      </c>
    </row>
    <row r="42" spans="1:4" x14ac:dyDescent="0.3">
      <c r="A42" s="2" t="s">
        <v>46</v>
      </c>
    </row>
    <row r="45" spans="1:4" x14ac:dyDescent="0.3">
      <c r="A45" s="2" t="s">
        <v>47</v>
      </c>
    </row>
    <row r="47" spans="1:4" x14ac:dyDescent="0.3">
      <c r="A47" s="2" t="s">
        <v>48</v>
      </c>
      <c r="B47">
        <f>SUM(B50:B53)</f>
        <v>226000000</v>
      </c>
      <c r="C47">
        <f t="shared" ref="C47:D47" si="2">SUM(C50:C53)</f>
        <v>200750000</v>
      </c>
      <c r="D47">
        <f t="shared" si="2"/>
        <v>175500000</v>
      </c>
    </row>
    <row r="49" spans="1:4" x14ac:dyDescent="0.3">
      <c r="A49" s="2" t="s">
        <v>49</v>
      </c>
    </row>
    <row r="50" spans="1:4" x14ac:dyDescent="0.3">
      <c r="A50" t="s">
        <v>50</v>
      </c>
      <c r="B50">
        <v>25000000</v>
      </c>
      <c r="C50">
        <v>25000000</v>
      </c>
      <c r="D50">
        <v>25000000</v>
      </c>
    </row>
    <row r="51" spans="1:4" x14ac:dyDescent="0.3">
      <c r="A51" t="s">
        <v>51</v>
      </c>
      <c r="B51">
        <v>200000000</v>
      </c>
      <c r="C51">
        <v>175000000</v>
      </c>
      <c r="D51">
        <v>150000000</v>
      </c>
    </row>
    <row r="53" spans="1:4" x14ac:dyDescent="0.3">
      <c r="A53" s="2" t="s">
        <v>52</v>
      </c>
      <c r="B53">
        <v>1000000</v>
      </c>
      <c r="C53">
        <v>750000</v>
      </c>
      <c r="D53">
        <v>500000</v>
      </c>
    </row>
    <row r="55" spans="1:4" x14ac:dyDescent="0.3">
      <c r="A55" s="2" t="s">
        <v>53</v>
      </c>
    </row>
    <row r="57" spans="1:4" x14ac:dyDescent="0.3">
      <c r="A57" s="2" t="s">
        <v>54</v>
      </c>
      <c r="B57">
        <f>SUM(B60:B67)</f>
        <v>76000000</v>
      </c>
      <c r="C57">
        <f t="shared" ref="C57:D57" si="3">SUM(C60:C67)</f>
        <v>64250000</v>
      </c>
      <c r="D57">
        <f t="shared" si="3"/>
        <v>52500000</v>
      </c>
    </row>
    <row r="59" spans="1:4" x14ac:dyDescent="0.3">
      <c r="A59" s="2" t="s">
        <v>55</v>
      </c>
    </row>
    <row r="60" spans="1:4" x14ac:dyDescent="0.3">
      <c r="A60" t="s">
        <v>56</v>
      </c>
      <c r="B60">
        <v>60000000</v>
      </c>
      <c r="C60">
        <v>50000000</v>
      </c>
      <c r="D60">
        <v>40000000</v>
      </c>
    </row>
    <row r="61" spans="1:4" x14ac:dyDescent="0.3">
      <c r="A61" t="s">
        <v>57</v>
      </c>
      <c r="B61">
        <v>5000000</v>
      </c>
      <c r="C61">
        <v>4500000</v>
      </c>
      <c r="D61">
        <v>4000000</v>
      </c>
    </row>
    <row r="63" spans="1:4" x14ac:dyDescent="0.3">
      <c r="A63" s="2" t="s">
        <v>58</v>
      </c>
      <c r="B63">
        <v>5000000</v>
      </c>
      <c r="C63">
        <v>4500000</v>
      </c>
      <c r="D63">
        <v>4000000</v>
      </c>
    </row>
    <row r="65" spans="1:4" x14ac:dyDescent="0.3">
      <c r="A65" s="2" t="s">
        <v>59</v>
      </c>
      <c r="B65">
        <v>3500000</v>
      </c>
      <c r="C65">
        <v>3250000</v>
      </c>
      <c r="D65">
        <v>3000000</v>
      </c>
    </row>
    <row r="67" spans="1:4" x14ac:dyDescent="0.3">
      <c r="A67" s="2" t="s">
        <v>60</v>
      </c>
      <c r="B67">
        <v>2500000</v>
      </c>
      <c r="C67">
        <v>2000000</v>
      </c>
      <c r="D67">
        <v>1500000</v>
      </c>
    </row>
    <row r="69" spans="1:4" x14ac:dyDescent="0.3">
      <c r="A69" s="2" t="s">
        <v>61</v>
      </c>
      <c r="B69">
        <f>SUM(B72:B78)</f>
        <v>66500000</v>
      </c>
      <c r="C69">
        <f t="shared" ref="C69:D69" si="4">SUM(C72:C78)</f>
        <v>60500000</v>
      </c>
      <c r="D69">
        <f t="shared" si="4"/>
        <v>54500000</v>
      </c>
    </row>
    <row r="71" spans="1:4" x14ac:dyDescent="0.3">
      <c r="A71" s="2" t="s">
        <v>62</v>
      </c>
    </row>
    <row r="72" spans="1:4" x14ac:dyDescent="0.3">
      <c r="A72" t="s">
        <v>63</v>
      </c>
      <c r="B72">
        <v>15000000</v>
      </c>
      <c r="C72">
        <v>12500000</v>
      </c>
      <c r="D72">
        <v>10000000</v>
      </c>
    </row>
    <row r="73" spans="1:4" x14ac:dyDescent="0.3">
      <c r="A73" t="s">
        <v>64</v>
      </c>
      <c r="B73">
        <v>40000000</v>
      </c>
      <c r="C73">
        <v>37500000</v>
      </c>
      <c r="D73">
        <v>35000000</v>
      </c>
    </row>
    <row r="74" spans="1:4" x14ac:dyDescent="0.3">
      <c r="A74" t="s">
        <v>65</v>
      </c>
      <c r="B74">
        <v>5000000</v>
      </c>
      <c r="C74">
        <v>4500000</v>
      </c>
      <c r="D74">
        <v>4000000</v>
      </c>
    </row>
    <row r="76" spans="1:4" x14ac:dyDescent="0.3">
      <c r="A76" s="2" t="s">
        <v>66</v>
      </c>
      <c r="B76">
        <v>2500000</v>
      </c>
      <c r="C76">
        <v>2250000</v>
      </c>
      <c r="D76">
        <v>2000000</v>
      </c>
    </row>
    <row r="78" spans="1:4" x14ac:dyDescent="0.3">
      <c r="A78" s="2" t="s">
        <v>67</v>
      </c>
      <c r="B78">
        <v>4000000</v>
      </c>
      <c r="C78">
        <v>3750000</v>
      </c>
      <c r="D78">
        <v>3500000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7"/>
  <sheetViews>
    <sheetView tabSelected="1" workbookViewId="0"/>
  </sheetViews>
  <sheetFormatPr defaultRowHeight="14.4" x14ac:dyDescent="0.3"/>
  <cols>
    <col min="1" max="1" width="77.44140625" bestFit="1" customWidth="1"/>
    <col min="2" max="4" width="9.6640625" bestFit="1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3" spans="1:4" x14ac:dyDescent="0.3">
      <c r="A3" t="s">
        <v>68</v>
      </c>
      <c r="B3">
        <v>70000000</v>
      </c>
      <c r="C3">
        <v>60000000</v>
      </c>
      <c r="D3">
        <v>50000000</v>
      </c>
    </row>
    <row r="5" spans="1:4" x14ac:dyDescent="0.3">
      <c r="A5" t="s">
        <v>69</v>
      </c>
      <c r="B5">
        <v>-25000000</v>
      </c>
      <c r="C5">
        <v>-20000000</v>
      </c>
      <c r="D5">
        <v>-17500000</v>
      </c>
    </row>
    <row r="7" spans="1:4" x14ac:dyDescent="0.3">
      <c r="A7" t="s">
        <v>70</v>
      </c>
      <c r="B7">
        <v>-15000000</v>
      </c>
      <c r="C7">
        <v>-12500000</v>
      </c>
      <c r="D7">
        <v>-10000000</v>
      </c>
    </row>
    <row r="9" spans="1:4" x14ac:dyDescent="0.3">
      <c r="A9" t="s">
        <v>71</v>
      </c>
      <c r="B9">
        <v>30000000</v>
      </c>
      <c r="C9">
        <v>27500000</v>
      </c>
      <c r="D9">
        <v>22500000</v>
      </c>
    </row>
    <row r="11" spans="1:4" x14ac:dyDescent="0.3">
      <c r="A11" t="s">
        <v>72</v>
      </c>
      <c r="B11">
        <v>0</v>
      </c>
      <c r="C11">
        <v>0</v>
      </c>
      <c r="D11">
        <v>0</v>
      </c>
    </row>
    <row r="13" spans="1:4" x14ac:dyDescent="0.3">
      <c r="A13" t="s">
        <v>73</v>
      </c>
      <c r="B13">
        <v>30000000</v>
      </c>
      <c r="C13">
        <v>27500000</v>
      </c>
      <c r="D13">
        <v>22500000</v>
      </c>
    </row>
    <row r="15" spans="1:4" x14ac:dyDescent="0.3">
      <c r="A15" t="s">
        <v>74</v>
      </c>
      <c r="B15">
        <v>12500000</v>
      </c>
      <c r="C15">
        <v>10000000</v>
      </c>
      <c r="D15">
        <v>7500000</v>
      </c>
    </row>
    <row r="17" spans="1:4" x14ac:dyDescent="0.3">
      <c r="A17" t="s">
        <v>75</v>
      </c>
      <c r="B17">
        <v>42500000</v>
      </c>
      <c r="C17">
        <v>37500000</v>
      </c>
      <c r="D17">
        <v>30000000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Income Statement</vt:lpstr>
      <vt:lpstr>Balance Sheet</vt:lpstr>
      <vt:lpstr>Cash Flow Statement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Tanmay T A</cp:lastModifiedBy>
  <dcterms:created xsi:type="dcterms:W3CDTF">2025-10-25T13:35:04Z</dcterms:created>
  <dcterms:modified xsi:type="dcterms:W3CDTF">2025-10-25T19:31:49Z</dcterms:modified>
</cp:coreProperties>
</file>